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fu/Desktop/MRSD Project II/Tasks/T19 Attendance/"/>
    </mc:Choice>
  </mc:AlternateContent>
  <xr:revisionPtr revIDLastSave="0" documentId="13_ncr:1_{072866F9-76BF-3448-8DBD-63AC3F027095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MRSD Project Cour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" l="1"/>
  <c r="R5" i="1"/>
  <c r="I5" i="1"/>
  <c r="G5" i="1"/>
  <c r="M5" i="1"/>
  <c r="Q5" i="1"/>
  <c r="H5" i="1"/>
  <c r="N5" i="1"/>
  <c r="F5" i="1"/>
  <c r="K5" i="1"/>
  <c r="O5" i="1"/>
  <c r="P5" i="1"/>
  <c r="T5" i="1" l="1"/>
  <c r="J5" i="1"/>
  <c r="L4" i="1" l="1"/>
  <c r="G1" i="1"/>
  <c r="H1" i="1" s="1"/>
  <c r="I1" i="1" s="1"/>
  <c r="J1" i="1" s="1"/>
  <c r="K1" i="1" s="1"/>
  <c r="L1" i="1" s="1"/>
  <c r="M1" i="1" s="1"/>
  <c r="N1" i="1" s="1"/>
  <c r="O1" i="1" s="1"/>
  <c r="P1" i="1" s="1"/>
  <c r="Q1" i="1" s="1"/>
  <c r="R4" i="1" l="1"/>
  <c r="T4" i="1" s="1"/>
  <c r="L5" i="1"/>
  <c r="S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000-000001000000}">
      <text>
        <r>
          <rPr>
            <sz val="11"/>
            <color rgb="FF000000"/>
            <rFont val="Calibri"/>
          </rPr>
          <t>Guest lecture 1</t>
        </r>
      </text>
    </comment>
    <comment ref="G3" authorId="0" shapeId="0" xr:uid="{00000000-0006-0000-0000-000002000000}">
      <text>
        <r>
          <rPr>
            <sz val="11"/>
            <color rgb="FF000000"/>
            <rFont val="Calibri"/>
          </rPr>
          <t>Guest lecture 2</t>
        </r>
      </text>
    </comment>
    <comment ref="H3" authorId="0" shapeId="0" xr:uid="{00000000-0006-0000-0000-000003000000}">
      <text>
        <r>
          <rPr>
            <sz val="11"/>
            <color rgb="FF000000"/>
            <rFont val="Calibri"/>
          </rPr>
          <t>Team meetings 1</t>
        </r>
      </text>
    </comment>
    <comment ref="I3" authorId="0" shapeId="0" xr:uid="{00000000-0006-0000-0000-000004000000}">
      <text>
        <r>
          <rPr>
            <sz val="11"/>
            <color rgb="FF000000"/>
            <rFont val="Calibri"/>
          </rPr>
          <t>Guest lecture 3</t>
        </r>
      </text>
    </comment>
    <comment ref="J3" authorId="0" shapeId="0" xr:uid="{00000000-0006-0000-0000-000005000000}">
      <text>
        <r>
          <rPr>
            <sz val="11"/>
            <color rgb="FF000000"/>
            <rFont val="Calibri"/>
          </rPr>
          <t>Guest lecture 4</t>
        </r>
      </text>
    </comment>
    <comment ref="K3" authorId="0" shapeId="0" xr:uid="{00000000-0006-0000-0000-000006000000}">
      <text>
        <r>
          <rPr>
            <sz val="11"/>
            <color rgb="FF000000"/>
            <rFont val="Calibri"/>
          </rPr>
          <t>Team meetings 2</t>
        </r>
      </text>
    </comment>
    <comment ref="L3" authorId="0" shapeId="0" xr:uid="{00000000-0006-0000-0000-000007000000}">
      <text>
        <r>
          <rPr>
            <sz val="11"/>
            <color rgb="FF000000"/>
            <rFont val="Calibri"/>
          </rPr>
          <t>Guest lecture 5</t>
        </r>
      </text>
    </comment>
    <comment ref="M3" authorId="0" shapeId="0" xr:uid="{00000000-0006-0000-0000-000008000000}">
      <text>
        <r>
          <rPr>
            <sz val="11"/>
            <color rgb="FF000000"/>
            <rFont val="Calibri"/>
          </rPr>
          <t>Guest lecture 6</t>
        </r>
      </text>
    </comment>
    <comment ref="N3" authorId="0" shapeId="0" xr:uid="{00000000-0006-0000-0000-000009000000}">
      <text>
        <r>
          <rPr>
            <sz val="11"/>
            <color rgb="FF000000"/>
            <rFont val="Calibri"/>
          </rPr>
          <t>Team meetings 3</t>
        </r>
      </text>
    </comment>
    <comment ref="O3" authorId="0" shapeId="0" xr:uid="{00000000-0006-0000-0000-00000A000000}">
      <text>
        <r>
          <rPr>
            <sz val="11"/>
            <color rgb="FF000000"/>
            <rFont val="Calibri"/>
          </rPr>
          <t>Team meetings 4</t>
        </r>
      </text>
    </comment>
    <comment ref="P3" authorId="0" shapeId="0" xr:uid="{00000000-0006-0000-0000-00000B000000}">
      <text>
        <r>
          <rPr>
            <sz val="11"/>
            <color rgb="FF000000"/>
            <rFont val="Calibri"/>
          </rPr>
          <t>Team meetings 5</t>
        </r>
      </text>
    </comment>
    <comment ref="Q3" authorId="0" shapeId="0" xr:uid="{00000000-0006-0000-0000-00000C000000}">
      <text>
        <r>
          <rPr>
            <sz val="11"/>
            <color rgb="FF000000"/>
            <rFont val="Calibri"/>
          </rPr>
          <t>Feedback session</t>
        </r>
      </text>
    </comment>
    <comment ref="S3" authorId="0" shapeId="0" xr:uid="{00000000-0006-0000-0000-00000D000000}">
      <text>
        <r>
          <rPr>
            <sz val="11"/>
            <color rgb="FF000000"/>
            <rFont val="Calibri"/>
          </rPr>
          <t>Allow one absence (i.e., drop one of the scores)</t>
        </r>
      </text>
    </comment>
    <comment ref="T3" authorId="0" shapeId="0" xr:uid="{00000000-0006-0000-0000-00000E000000}">
      <text>
        <r>
          <rPr>
            <sz val="11"/>
            <color rgb="FF000000"/>
            <rFont val="Calibri"/>
          </rPr>
          <t>Just change the denominator to one fewer than the number of sessions held so far</t>
        </r>
      </text>
    </comment>
  </commentList>
</comments>
</file>

<file path=xl/sharedStrings.xml><?xml version="1.0" encoding="utf-8"?>
<sst xmlns="http://schemas.openxmlformats.org/spreadsheetml/2006/main" count="14" uniqueCount="14">
  <si>
    <t>Date</t>
  </si>
  <si>
    <t>Team</t>
  </si>
  <si>
    <t>Team Name</t>
  </si>
  <si>
    <t>Last Name</t>
  </si>
  <si>
    <t xml:space="preserve">First Name </t>
  </si>
  <si>
    <t>Username</t>
  </si>
  <si>
    <t>Totals</t>
  </si>
  <si>
    <t>Final Score</t>
  </si>
  <si>
    <t>Interim Score</t>
  </si>
  <si>
    <t>I</t>
  </si>
  <si>
    <t>Lunar Roadster</t>
  </si>
  <si>
    <t>Fu</t>
  </si>
  <si>
    <t>Boxiang</t>
  </si>
  <si>
    <t>boxiangf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</si>
</sst>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"/>
  </numFmts>
  <fonts count="7" x14ac:knownFonts="1">
    <font>
      <sz val="11"/>
      <color rgb="FF000000"/>
      <name val="Calibri"/>
    </font>
    <font>
      <sz val="10"/>
      <color rgb="FF000000"/>
      <name val="Arial"/>
    </font>
    <font>
      <b/>
      <sz val="10"/>
      <color rgb="FF000000"/>
      <name val="Arial"/>
    </font>
    <font>
      <b/>
      <sz val="10"/>
      <name val="Arial"/>
    </font>
    <font>
      <sz val="10"/>
      <name val="Calibri"/>
    </font>
    <font>
      <sz val="10"/>
      <name val="Arial"/>
    </font>
    <font>
      <sz val="10"/>
      <color rgb="FF22222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64" fontId="1" fillId="0" borderId="0" xfId="0" applyNumberFormat="1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165" fontId="3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2" borderId="0" xfId="0" applyFont="1" applyFill="1"/>
    <xf numFmtId="4" fontId="6" fillId="2" borderId="0" xfId="0" applyNumberFormat="1" applyFont="1" applyFill="1"/>
    <xf numFmtId="0" fontId="6" fillId="3" borderId="0" xfId="0" applyFont="1" applyFill="1"/>
    <xf numFmtId="4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4" fontId="6" fillId="0" borderId="0" xfId="0" applyNumberFormat="1" applyFont="1"/>
    <xf numFmtId="0" fontId="2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5"/>
  <sheetViews>
    <sheetView tabSelected="1" zoomScale="167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Q6" sqref="Q6"/>
    </sheetView>
  </sheetViews>
  <sheetFormatPr baseColWidth="10" defaultColWidth="17.33203125" defaultRowHeight="15.75" customHeight="1" x14ac:dyDescent="0.2"/>
  <cols>
    <col min="1" max="1" width="6.83203125" customWidth="1"/>
    <col min="2" max="3" width="12" customWidth="1"/>
    <col min="4" max="4" width="13.83203125" customWidth="1"/>
    <col min="5" max="5" width="10.6640625" customWidth="1"/>
    <col min="6" max="17" width="5.1640625" customWidth="1"/>
    <col min="18" max="20" width="11.33203125" customWidth="1"/>
  </cols>
  <sheetData>
    <row r="1" spans="1:20" ht="15" customHeight="1" x14ac:dyDescent="0.2">
      <c r="A1" s="1"/>
      <c r="B1" s="2"/>
      <c r="C1" s="2"/>
      <c r="D1" s="2"/>
      <c r="E1" s="2"/>
      <c r="F1" s="3">
        <v>1</v>
      </c>
      <c r="G1" s="3">
        <f t="shared" ref="G1:Q1" si="0">F1+1</f>
        <v>2</v>
      </c>
      <c r="H1" s="3">
        <f t="shared" si="0"/>
        <v>3</v>
      </c>
      <c r="I1" s="3">
        <f t="shared" si="0"/>
        <v>4</v>
      </c>
      <c r="J1" s="3">
        <f t="shared" si="0"/>
        <v>5</v>
      </c>
      <c r="K1" s="3">
        <f t="shared" si="0"/>
        <v>6</v>
      </c>
      <c r="L1" s="3">
        <f t="shared" si="0"/>
        <v>7</v>
      </c>
      <c r="M1" s="3">
        <f t="shared" si="0"/>
        <v>8</v>
      </c>
      <c r="N1" s="3">
        <f t="shared" si="0"/>
        <v>9</v>
      </c>
      <c r="O1" s="3">
        <f t="shared" si="0"/>
        <v>10</v>
      </c>
      <c r="P1" s="3">
        <f t="shared" si="0"/>
        <v>11</v>
      </c>
      <c r="Q1" s="3">
        <f t="shared" si="0"/>
        <v>12</v>
      </c>
      <c r="R1" s="4"/>
      <c r="S1" s="4"/>
      <c r="T1" s="4"/>
    </row>
    <row r="2" spans="1:20" ht="15" customHeight="1" x14ac:dyDescent="0.2">
      <c r="A2" s="1"/>
      <c r="B2" s="2"/>
      <c r="C2" s="2"/>
      <c r="D2" s="2"/>
      <c r="E2" s="2"/>
      <c r="F2" s="18" t="s">
        <v>0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4"/>
      <c r="S2" s="4"/>
      <c r="T2" s="4"/>
    </row>
    <row r="3" spans="1:20" ht="37.5" customHeight="1" x14ac:dyDescent="0.2">
      <c r="A3" s="3" t="s">
        <v>1</v>
      </c>
      <c r="B3" s="3" t="s">
        <v>2</v>
      </c>
      <c r="C3" s="5" t="s">
        <v>3</v>
      </c>
      <c r="D3" s="5" t="s">
        <v>4</v>
      </c>
      <c r="E3" s="6" t="s">
        <v>5</v>
      </c>
      <c r="F3" s="7">
        <v>45894</v>
      </c>
      <c r="G3" s="7">
        <v>45896</v>
      </c>
      <c r="H3" s="7">
        <v>45915</v>
      </c>
      <c r="I3" s="7">
        <v>45917</v>
      </c>
      <c r="J3" s="7">
        <v>45922</v>
      </c>
      <c r="K3" s="7">
        <v>45929</v>
      </c>
      <c r="L3" s="7">
        <v>45931</v>
      </c>
      <c r="M3" s="7">
        <v>45936</v>
      </c>
      <c r="N3" s="7">
        <v>45957</v>
      </c>
      <c r="O3" s="8">
        <v>45971</v>
      </c>
      <c r="P3" s="8">
        <v>45980</v>
      </c>
      <c r="Q3" s="8">
        <v>45992</v>
      </c>
      <c r="R3" s="9" t="s">
        <v>6</v>
      </c>
      <c r="S3" s="9" t="s">
        <v>7</v>
      </c>
      <c r="T3" s="9" t="s">
        <v>8</v>
      </c>
    </row>
    <row r="4" spans="1:20" ht="15" customHeight="1" x14ac:dyDescent="0.2">
      <c r="A4" s="10" t="s">
        <v>9</v>
      </c>
      <c r="B4" s="11" t="s">
        <v>10</v>
      </c>
      <c r="C4" s="11" t="s">
        <v>11</v>
      </c>
      <c r="D4" s="11" t="s">
        <v>12</v>
      </c>
      <c r="E4" s="11" t="s">
        <v>13</v>
      </c>
      <c r="F4" s="12">
        <v>1</v>
      </c>
      <c r="G4" s="12">
        <v>1</v>
      </c>
      <c r="H4" s="12">
        <v>1</v>
      </c>
      <c r="I4" s="12">
        <v>1</v>
      </c>
      <c r="J4" s="12">
        <v>1</v>
      </c>
      <c r="K4" s="12">
        <v>1</v>
      </c>
      <c r="L4" s="13">
        <f t="shared" ref="L4" si="1">73/76</f>
        <v>0.96052631578947367</v>
      </c>
      <c r="M4" s="12">
        <v>1</v>
      </c>
      <c r="N4" s="12">
        <v>1</v>
      </c>
      <c r="O4" s="12">
        <v>1</v>
      </c>
      <c r="P4" s="12">
        <v>1</v>
      </c>
      <c r="Q4" s="14"/>
      <c r="R4" s="15">
        <f t="shared" ref="R4" si="2">SUM(F4:Q4)</f>
        <v>10.960526315789473</v>
      </c>
      <c r="S4" s="15">
        <f t="shared" ref="S4" si="3">MIN(15,15*(R4/11))</f>
        <v>14.946172248803826</v>
      </c>
      <c r="T4" s="15">
        <f t="shared" ref="T4" si="4">MIN(15,15*(R4/11))</f>
        <v>14.946172248803826</v>
      </c>
    </row>
    <row r="5" spans="1:20" ht="15" customHeight="1" x14ac:dyDescent="0.2">
      <c r="A5" s="16"/>
      <c r="B5" s="11"/>
      <c r="C5" s="11"/>
      <c r="D5" s="11"/>
      <c r="E5" s="11"/>
      <c r="F5" s="17">
        <f>SUM(F4:F4)</f>
        <v>1</v>
      </c>
      <c r="G5" s="17">
        <f>SUM(G4:G4)</f>
        <v>1</v>
      </c>
      <c r="H5" s="17">
        <f>SUM(H4:H4)</f>
        <v>1</v>
      </c>
      <c r="I5" s="17">
        <f>SUM(I4:I4)</f>
        <v>1</v>
      </c>
      <c r="J5" s="17">
        <f>SUM(J4:J4)</f>
        <v>1</v>
      </c>
      <c r="K5" s="17">
        <f>SUM(K4:K4)</f>
        <v>1</v>
      </c>
      <c r="L5" s="17">
        <f>SUM(L4:L4)</f>
        <v>0.96052631578947367</v>
      </c>
      <c r="M5" s="17">
        <f>SUM(M4:M4)</f>
        <v>1</v>
      </c>
      <c r="N5" s="17">
        <f>SUM(N4:N4)</f>
        <v>1</v>
      </c>
      <c r="O5" s="17">
        <f>SUM(O4:O4)</f>
        <v>1</v>
      </c>
      <c r="P5" s="17">
        <f>SUM(P4:P4)</f>
        <v>1</v>
      </c>
      <c r="Q5" s="17">
        <f>SUM(Q4:Q4)</f>
        <v>0</v>
      </c>
      <c r="R5" s="15">
        <f>R4</f>
        <v>10.960526315789473</v>
      </c>
      <c r="S5" s="15">
        <f>S4</f>
        <v>14.946172248803826</v>
      </c>
      <c r="T5" s="15">
        <f>MIN(15,15*(R5/1))</f>
        <v>15</v>
      </c>
    </row>
  </sheetData>
  <mergeCells count="1">
    <mergeCell ref="F2:Q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MRSD Project Course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Boxiang Fu</cp:lastModifiedBy>
  <dcterms:modified xsi:type="dcterms:W3CDTF">2025-12-08T19:01:38Z</dcterms:modified>
</cp:coreProperties>
</file>